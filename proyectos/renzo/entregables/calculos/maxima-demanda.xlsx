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áxima Dema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i val="1"/>
      <color rgb="004A556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4A5568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CBD5E0"/>
      </top>
      <bottom style="double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  <xf numFmtId="0" fontId="5" fillId="4" borderId="2" pivotButton="0" quotePrefix="0" xfId="0"/>
    <xf numFmtId="3" fontId="5" fillId="4" borderId="2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 ht="25" customHeight="1">
      <c r="A1" s="1" t="inlineStr">
        <is>
          <t>CÁLCULO EXPLICATIVO DE LA MÁXIMA DEMANDA</t>
        </is>
      </c>
    </row>
    <row r="2" ht="18" customHeight="1">
      <c r="A2" s="2" t="inlineStr">
        <is>
          <t>Estudiante: Renzo Gabriel Mamani Galindo  |  Curso: Instalaciones Eléctricas I  |  Universidad: UNAP</t>
        </is>
      </c>
    </row>
    <row r="4" ht="26" customHeight="1">
      <c r="A4" s="3" t="inlineStr">
        <is>
          <t>Item</t>
        </is>
      </c>
      <c r="B4" s="3" t="inlineStr">
        <is>
          <t>Ambiente / Concepto de Carga</t>
        </is>
      </c>
      <c r="C4" s="3" t="inlineStr">
        <is>
          <t>Cantidad</t>
        </is>
      </c>
      <c r="D4" s="3" t="inlineStr">
        <is>
          <t>Pot. Unit. (W)</t>
        </is>
      </c>
      <c r="E4" s="3" t="inlineStr">
        <is>
          <t>Pot. Total (W)</t>
        </is>
      </c>
      <c r="F4" s="3" t="inlineStr">
        <is>
          <t>F. Demanda</t>
        </is>
      </c>
      <c r="G4" s="3" t="inlineStr">
        <is>
          <t>Máx. Demanda (W)</t>
        </is>
      </c>
    </row>
    <row r="5" ht="19" customHeight="1">
      <c r="A5" s="4" t="n">
        <v>1</v>
      </c>
      <c r="B5" s="5" t="inlineStr">
        <is>
          <t>Sala-comedor - Luminaria LED</t>
        </is>
      </c>
      <c r="C5" s="4" t="n">
        <v>2</v>
      </c>
      <c r="D5" s="6" t="n">
        <v>12</v>
      </c>
      <c r="E5" s="6">
        <f>C5*D5</f>
        <v/>
      </c>
      <c r="F5" s="7" t="n">
        <v>1</v>
      </c>
      <c r="G5" s="6">
        <f>E5*F5</f>
        <v/>
      </c>
    </row>
    <row r="6" ht="19" customHeight="1">
      <c r="A6" s="8" t="n">
        <v>2</v>
      </c>
      <c r="B6" s="9" t="inlineStr">
        <is>
          <t>Sala-comedor - Tomacorriente doble</t>
        </is>
      </c>
      <c r="C6" s="8" t="n">
        <v>4</v>
      </c>
      <c r="D6" s="10" t="n">
        <v>180</v>
      </c>
      <c r="E6" s="10">
        <f>C6*D6</f>
        <v/>
      </c>
      <c r="F6" s="11" t="n">
        <v>0.7</v>
      </c>
      <c r="G6" s="10">
        <f>E6*F6</f>
        <v/>
      </c>
    </row>
    <row r="7" ht="19" customHeight="1">
      <c r="A7" s="4" t="n">
        <v>3</v>
      </c>
      <c r="B7" s="5" t="inlineStr">
        <is>
          <t>Cocina - Luminaria LED</t>
        </is>
      </c>
      <c r="C7" s="4" t="n">
        <v>2</v>
      </c>
      <c r="D7" s="6" t="n">
        <v>12</v>
      </c>
      <c r="E7" s="6">
        <f>C7*D7</f>
        <v/>
      </c>
      <c r="F7" s="7" t="n">
        <v>1</v>
      </c>
      <c r="G7" s="6">
        <f>E7*F7</f>
        <v/>
      </c>
    </row>
    <row r="8" ht="19" customHeight="1">
      <c r="A8" s="8" t="n">
        <v>4</v>
      </c>
      <c r="B8" s="9" t="inlineStr">
        <is>
          <t>Cocina - Pequeños Artefactos</t>
        </is>
      </c>
      <c r="C8" s="8" t="n">
        <v>4</v>
      </c>
      <c r="D8" s="10" t="n">
        <v>300</v>
      </c>
      <c r="E8" s="10">
        <f>C8*D8</f>
        <v/>
      </c>
      <c r="F8" s="11" t="n">
        <v>0.8</v>
      </c>
      <c r="G8" s="10">
        <f>E8*F8</f>
        <v/>
      </c>
    </row>
    <row r="9" ht="19" customHeight="1">
      <c r="A9" s="4" t="n">
        <v>5</v>
      </c>
      <c r="B9" s="5" t="inlineStr">
        <is>
          <t>Dormitorio Principal - Luminaria LED</t>
        </is>
      </c>
      <c r="C9" s="4" t="n">
        <v>1</v>
      </c>
      <c r="D9" s="6" t="n">
        <v>12</v>
      </c>
      <c r="E9" s="6">
        <f>C9*D9</f>
        <v/>
      </c>
      <c r="F9" s="7" t="n">
        <v>1</v>
      </c>
      <c r="G9" s="6">
        <f>E9*F9</f>
        <v/>
      </c>
    </row>
    <row r="10" ht="19" customHeight="1">
      <c r="A10" s="8" t="n">
        <v>6</v>
      </c>
      <c r="B10" s="9" t="inlineStr">
        <is>
          <t>Dormitorio Principal - Tomacorriente</t>
        </is>
      </c>
      <c r="C10" s="8" t="n">
        <v>3</v>
      </c>
      <c r="D10" s="10" t="n">
        <v>180</v>
      </c>
      <c r="E10" s="10">
        <f>C10*D10</f>
        <v/>
      </c>
      <c r="F10" s="11" t="n">
        <v>0.7</v>
      </c>
      <c r="G10" s="10">
        <f>E10*F10</f>
        <v/>
      </c>
    </row>
    <row r="11" ht="19" customHeight="1">
      <c r="A11" s="4" t="n">
        <v>7</v>
      </c>
      <c r="B11" s="5" t="inlineStr">
        <is>
          <t>Dormitorio Secundario 1 - Luz LED</t>
        </is>
      </c>
      <c r="C11" s="4" t="n">
        <v>1</v>
      </c>
      <c r="D11" s="6" t="n">
        <v>12</v>
      </c>
      <c r="E11" s="6">
        <f>C11*D11</f>
        <v/>
      </c>
      <c r="F11" s="7" t="n">
        <v>1</v>
      </c>
      <c r="G11" s="6">
        <f>E11*F11</f>
        <v/>
      </c>
    </row>
    <row r="12" ht="19" customHeight="1">
      <c r="A12" s="8" t="n">
        <v>8</v>
      </c>
      <c r="B12" s="9" t="inlineStr">
        <is>
          <t>Dormitorio Secundario 1 - Tomacorriente</t>
        </is>
      </c>
      <c r="C12" s="8" t="n">
        <v>2</v>
      </c>
      <c r="D12" s="10" t="n">
        <v>180</v>
      </c>
      <c r="E12" s="10">
        <f>C12*D12</f>
        <v/>
      </c>
      <c r="F12" s="11" t="n">
        <v>0.7</v>
      </c>
      <c r="G12" s="10">
        <f>E12*F12</f>
        <v/>
      </c>
    </row>
    <row r="13" ht="19" customHeight="1">
      <c r="A13" s="4" t="n">
        <v>9</v>
      </c>
      <c r="B13" s="5" t="inlineStr">
        <is>
          <t>Dormitorio Secundario 2 - Luz LED</t>
        </is>
      </c>
      <c r="C13" s="4" t="n">
        <v>1</v>
      </c>
      <c r="D13" s="6" t="n">
        <v>12</v>
      </c>
      <c r="E13" s="6">
        <f>C13*D13</f>
        <v/>
      </c>
      <c r="F13" s="7" t="n">
        <v>1</v>
      </c>
      <c r="G13" s="6">
        <f>E13*F13</f>
        <v/>
      </c>
    </row>
    <row r="14" ht="19" customHeight="1">
      <c r="A14" s="8" t="n">
        <v>10</v>
      </c>
      <c r="B14" s="9" t="inlineStr">
        <is>
          <t>Dormitorio Secundario 2 - Tomacorriente</t>
        </is>
      </c>
      <c r="C14" s="8" t="n">
        <v>2</v>
      </c>
      <c r="D14" s="10" t="n">
        <v>180</v>
      </c>
      <c r="E14" s="10">
        <f>C14*D14</f>
        <v/>
      </c>
      <c r="F14" s="11" t="n">
        <v>0.7</v>
      </c>
      <c r="G14" s="10">
        <f>E14*F14</f>
        <v/>
      </c>
    </row>
    <row r="15" ht="19" customHeight="1">
      <c r="A15" s="4" t="n">
        <v>11</v>
      </c>
      <c r="B15" s="5" t="inlineStr">
        <is>
          <t>Baño - Luminaria LED</t>
        </is>
      </c>
      <c r="C15" s="4" t="n">
        <v>1</v>
      </c>
      <c r="D15" s="6" t="n">
        <v>12</v>
      </c>
      <c r="E15" s="6">
        <f>C15*D15</f>
        <v/>
      </c>
      <c r="F15" s="7" t="n">
        <v>1</v>
      </c>
      <c r="G15" s="6">
        <f>E15*F15</f>
        <v/>
      </c>
    </row>
    <row r="16" ht="19" customHeight="1">
      <c r="A16" s="8" t="n">
        <v>12</v>
      </c>
      <c r="B16" s="9" t="inlineStr">
        <is>
          <t>Baño - Tomacorriente GFCI</t>
        </is>
      </c>
      <c r="C16" s="8" t="n">
        <v>1</v>
      </c>
      <c r="D16" s="10" t="n">
        <v>180</v>
      </c>
      <c r="E16" s="10">
        <f>C16*D16</f>
        <v/>
      </c>
      <c r="F16" s="11" t="n">
        <v>0.7</v>
      </c>
      <c r="G16" s="10">
        <f>E16*F16</f>
        <v/>
      </c>
    </row>
    <row r="17" ht="19" customHeight="1">
      <c r="A17" s="4" t="n">
        <v>13</v>
      </c>
      <c r="B17" s="5" t="inlineStr">
        <is>
          <t>Lavandería - Luminaria LED</t>
        </is>
      </c>
      <c r="C17" s="4" t="n">
        <v>1</v>
      </c>
      <c r="D17" s="6" t="n">
        <v>12</v>
      </c>
      <c r="E17" s="6">
        <f>C17*D17</f>
        <v/>
      </c>
      <c r="F17" s="7" t="n">
        <v>1</v>
      </c>
      <c r="G17" s="6">
        <f>E17*F17</f>
        <v/>
      </c>
    </row>
    <row r="18" ht="19" customHeight="1">
      <c r="A18" s="8" t="n">
        <v>14</v>
      </c>
      <c r="B18" s="9" t="inlineStr">
        <is>
          <t>Lavandería - Tomacorriente de servicio</t>
        </is>
      </c>
      <c r="C18" s="8" t="n">
        <v>2</v>
      </c>
      <c r="D18" s="10" t="n">
        <v>180</v>
      </c>
      <c r="E18" s="10">
        <f>C18*D18</f>
        <v/>
      </c>
      <c r="F18" s="11" t="n">
        <v>0.8</v>
      </c>
      <c r="G18" s="10">
        <f>E18*F18</f>
        <v/>
      </c>
    </row>
    <row r="19" ht="19" customHeight="1">
      <c r="A19" s="4" t="n">
        <v>15</v>
      </c>
      <c r="B19" s="5" t="inlineStr">
        <is>
          <t>Área Técnica - Bomba de Agua 1HP</t>
        </is>
      </c>
      <c r="C19" s="4" t="n">
        <v>1</v>
      </c>
      <c r="D19" s="6" t="n">
        <v>750</v>
      </c>
      <c r="E19" s="6">
        <f>C19*D19</f>
        <v/>
      </c>
      <c r="F19" s="7" t="n">
        <v>1</v>
      </c>
      <c r="G19" s="6">
        <f>E19*F19</f>
        <v/>
      </c>
    </row>
    <row r="20" ht="19" customHeight="1">
      <c r="A20" s="8" t="n">
        <v>16</v>
      </c>
      <c r="B20" s="9" t="inlineStr">
        <is>
          <t>Circulaciones (Pasadizos, Escalera) - Luz</t>
        </is>
      </c>
      <c r="C20" s="8" t="n">
        <v>2</v>
      </c>
      <c r="D20" s="10" t="n">
        <v>12</v>
      </c>
      <c r="E20" s="10">
        <f>C20*D20</f>
        <v/>
      </c>
      <c r="F20" s="11" t="n">
        <v>1</v>
      </c>
      <c r="G20" s="10">
        <f>E20*F20</f>
        <v/>
      </c>
    </row>
    <row r="21" ht="22" customHeight="1">
      <c r="A21" s="12" t="inlineStr">
        <is>
          <t>TOTAL</t>
        </is>
      </c>
      <c r="B21" s="13" t="inlineStr">
        <is>
          <t>CARGAS SUMADAS VIVIENDA</t>
        </is>
      </c>
      <c r="C21" s="12">
        <f>SUM(C5:C20)</f>
        <v/>
      </c>
      <c r="D21" s="14" t="inlineStr"/>
      <c r="E21" s="15">
        <f>SUM(E5:E20)</f>
        <v/>
      </c>
      <c r="F21" s="14" t="inlineStr"/>
      <c r="G21" s="15">
        <f>SUM(G5:G20)</f>
        <v/>
      </c>
    </row>
    <row r="23">
      <c r="A23" s="16" t="inlineStr">
        <is>
          <t>NOTAS TÉCNICAS:
1. Los factores de demanda son tomados según CNE - Utilización Reglas 050-200 para cargas generales.
2. Fórmulas aplicadas: Potencia de Demanda = Potencia Instalada * Factor de Demanda.
3. La intensidad de corriente para el alimentador monofásico es I = P / (V * cos φ) = 3,894 / (220 * 0.90) = 19.67 A.</t>
        </is>
      </c>
    </row>
    <row r="24"/>
    <row r="25"/>
  </sheetData>
  <mergeCells count="3">
    <mergeCell ref="A23:G25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2026-06-13T03:52:16Z</dcterms:created>
  <dcterms:modified xmlns:dcterms="http://purl.org/dc/terms/" xmlns:xsi="http://www.w3.org/2001/XMLSchema-instance" xsi:type="dcterms:W3CDTF">2026-06-13T03:52:16Z</dcterms:modified>
</cp:coreProperties>
</file>