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Eléct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S/. #,##0.00"/>
  </numFmts>
  <fonts count="6">
    <font>
      <name val="Calibri"/>
      <family val="2"/>
      <color theme="1"/>
      <sz val="11"/>
      <scheme val="minor"/>
    </font>
    <font>
      <name val="Arial"/>
      <b val="1"/>
      <color rgb="001B365D"/>
      <sz val="14"/>
    </font>
    <font>
      <name val="Arial"/>
      <i val="1"/>
      <color rgb="004A556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AFC"/>
        <bgColor rgb="00F7FAFC"/>
      </patternFill>
    </fill>
    <fill>
      <patternFill patternType="solid">
        <fgColor rgb="00EBF8FF"/>
        <bgColor rgb="00EBF8FF"/>
      </patternFill>
    </fill>
  </fills>
  <borders count="4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top style="thin">
        <color rgb="00CBD5E0"/>
      </top>
      <bottom style="thin">
        <color rgb="00CBD5E0"/>
      </bottom>
    </border>
    <border>
      <top style="thin">
        <color rgb="00CBD5E0"/>
      </top>
      <bottom style="double">
        <color rgb="001B365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5" fillId="0" borderId="0" pivotButton="0" quotePrefix="0" xfId="0"/>
    <xf numFmtId="164" fontId="5" fillId="0" borderId="2" applyAlignment="1" pivotButton="0" quotePrefix="0" xfId="0">
      <alignment horizontal="right" vertical="center"/>
    </xf>
    <xf numFmtId="164" fontId="5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5" customWidth="1" min="3" max="3"/>
    <col width="10" customWidth="1" min="4" max="4"/>
    <col width="12" customWidth="1" min="5" max="5"/>
    <col width="14" customWidth="1" min="6" max="6"/>
    <col width="16" customWidth="1" min="7" max="7"/>
  </cols>
  <sheetData>
    <row r="1" ht="25" customHeight="1">
      <c r="A1" s="1" t="inlineStr">
        <is>
          <t>PRESUPUESTO GENERAL ESTIMADO</t>
        </is>
      </c>
    </row>
    <row r="2" ht="18" customHeight="1">
      <c r="A2" s="2" t="inlineStr">
        <is>
          <t>Estudiante: Renzo Gabriel Mamani Galindo  |  Curso: Instalaciones Eléctricas I  |  Universidad: UNAP</t>
        </is>
      </c>
    </row>
    <row r="4" ht="26" customHeight="1">
      <c r="A4" s="3" t="inlineStr">
        <is>
          <t>Item</t>
        </is>
      </c>
      <c r="B4" s="3" t="inlineStr">
        <is>
          <t>Código</t>
        </is>
      </c>
      <c r="C4" s="3" t="inlineStr">
        <is>
          <t>Descripción de Partida / Material</t>
        </is>
      </c>
      <c r="D4" s="3" t="inlineStr">
        <is>
          <t>Unidad</t>
        </is>
      </c>
      <c r="E4" s="3" t="inlineStr">
        <is>
          <t>Cantidad</t>
        </is>
      </c>
      <c r="F4" s="3" t="inlineStr">
        <is>
          <t>P. Unitario (S/.)</t>
        </is>
      </c>
      <c r="G4" s="3" t="inlineStr">
        <is>
          <t>Parcial (S/.)</t>
        </is>
      </c>
    </row>
    <row r="5" ht="19" customHeight="1">
      <c r="A5" s="4" t="inlineStr">
        <is>
          <t>1.0</t>
        </is>
      </c>
      <c r="B5" s="4" t="inlineStr">
        <is>
          <t>CAN-01</t>
        </is>
      </c>
      <c r="C5" s="5" t="inlineStr">
        <is>
          <t>Tubería PVC Liviana (PV-L) 3/4" para alumbrado</t>
        </is>
      </c>
      <c r="D5" s="4" t="inlineStr">
        <is>
          <t>m</t>
        </is>
      </c>
      <c r="E5" s="6" t="n">
        <v>120</v>
      </c>
      <c r="F5" s="7" t="n">
        <v>2.5</v>
      </c>
      <c r="G5" s="7">
        <f>E5*F5</f>
        <v/>
      </c>
    </row>
    <row r="6" ht="19" customHeight="1">
      <c r="A6" s="8" t="inlineStr">
        <is>
          <t>1.1</t>
        </is>
      </c>
      <c r="B6" s="8" t="inlineStr">
        <is>
          <t>CAN-02</t>
        </is>
      </c>
      <c r="C6" s="9" t="inlineStr">
        <is>
          <t>Tubería PVC Pesada (PV-P) 3/4" para tomacorrientes</t>
        </is>
      </c>
      <c r="D6" s="8" t="inlineStr">
        <is>
          <t>m</t>
        </is>
      </c>
      <c r="E6" s="10" t="n">
        <v>150</v>
      </c>
      <c r="F6" s="11" t="n">
        <v>4.2</v>
      </c>
      <c r="G6" s="11">
        <f>E6*F6</f>
        <v/>
      </c>
    </row>
    <row r="7" ht="19" customHeight="1">
      <c r="A7" s="4" t="inlineStr">
        <is>
          <t>1.2</t>
        </is>
      </c>
      <c r="B7" s="4" t="inlineStr">
        <is>
          <t>CAN-03</t>
        </is>
      </c>
      <c r="C7" s="5" t="inlineStr">
        <is>
          <t>Tubería PVC Pesada (PV-P) 1" para alimentador</t>
        </is>
      </c>
      <c r="D7" s="4" t="inlineStr">
        <is>
          <t>m</t>
        </is>
      </c>
      <c r="E7" s="6" t="n">
        <v>25</v>
      </c>
      <c r="F7" s="7" t="n">
        <v>6.8</v>
      </c>
      <c r="G7" s="7">
        <f>E7*F7</f>
        <v/>
      </c>
    </row>
    <row r="8" ht="19" customHeight="1">
      <c r="A8" s="8" t="inlineStr">
        <is>
          <t>2.0</t>
        </is>
      </c>
      <c r="B8" s="8" t="inlineStr">
        <is>
          <t>CON-01</t>
        </is>
      </c>
      <c r="C8" s="9" t="inlineStr">
        <is>
          <t>Conductor de cobre LSOH 1.5 mm2</t>
        </is>
      </c>
      <c r="D8" s="8" t="inlineStr">
        <is>
          <t>m</t>
        </is>
      </c>
      <c r="E8" s="10" t="n">
        <v>350</v>
      </c>
      <c r="F8" s="11" t="n">
        <v>3.2</v>
      </c>
      <c r="G8" s="11">
        <f>E8*F8</f>
        <v/>
      </c>
    </row>
    <row r="9" ht="19" customHeight="1">
      <c r="A9" s="4" t="inlineStr">
        <is>
          <t>2.1</t>
        </is>
      </c>
      <c r="B9" s="4" t="inlineStr">
        <is>
          <t>CON-02</t>
        </is>
      </c>
      <c r="C9" s="5" t="inlineStr">
        <is>
          <t>Conductor de cobre LSOH 2.5 mm2</t>
        </is>
      </c>
      <c r="D9" s="4" t="inlineStr">
        <is>
          <t>m</t>
        </is>
      </c>
      <c r="E9" s="6" t="n">
        <v>480</v>
      </c>
      <c r="F9" s="7" t="n">
        <v>4.8</v>
      </c>
      <c r="G9" s="7">
        <f>E9*F9</f>
        <v/>
      </c>
    </row>
    <row r="10" ht="19" customHeight="1">
      <c r="A10" s="8" t="inlineStr">
        <is>
          <t>2.2</t>
        </is>
      </c>
      <c r="B10" s="8" t="inlineStr">
        <is>
          <t>CON-03</t>
        </is>
      </c>
      <c r="C10" s="9" t="inlineStr">
        <is>
          <t>Conductor de cobre LSOH 10 mm2</t>
        </is>
      </c>
      <c r="D10" s="8" t="inlineStr">
        <is>
          <t>m</t>
        </is>
      </c>
      <c r="E10" s="10" t="n">
        <v>30</v>
      </c>
      <c r="F10" s="11" t="n">
        <v>16.5</v>
      </c>
      <c r="G10" s="11">
        <f>E10*F10</f>
        <v/>
      </c>
    </row>
    <row r="11" ht="19" customHeight="1">
      <c r="A11" s="4" t="inlineStr">
        <is>
          <t>3.0</t>
        </is>
      </c>
      <c r="B11" s="4" t="inlineStr">
        <is>
          <t>CAJ-01</t>
        </is>
      </c>
      <c r="C11" s="5" t="inlineStr">
        <is>
          <t>Cajas Octogonales FG 4" x 2"</t>
        </is>
      </c>
      <c r="D11" s="4" t="inlineStr">
        <is>
          <t>pza</t>
        </is>
      </c>
      <c r="E11" s="6" t="n">
        <v>12</v>
      </c>
      <c r="F11" s="7" t="n">
        <v>3.5</v>
      </c>
      <c r="G11" s="7">
        <f>E11*F11</f>
        <v/>
      </c>
    </row>
    <row r="12" ht="19" customHeight="1">
      <c r="A12" s="8" t="inlineStr">
        <is>
          <t>3.1</t>
        </is>
      </c>
      <c r="B12" s="8" t="inlineStr">
        <is>
          <t>CAJ-02</t>
        </is>
      </c>
      <c r="C12" s="9" t="inlineStr">
        <is>
          <t>Cajas Rectangulares FG 4" x 2"</t>
        </is>
      </c>
      <c r="D12" s="8" t="inlineStr">
        <is>
          <t>pza</t>
        </is>
      </c>
      <c r="E12" s="10" t="n">
        <v>28</v>
      </c>
      <c r="F12" s="11" t="n">
        <v>3.2</v>
      </c>
      <c r="G12" s="11">
        <f>E12*F12</f>
        <v/>
      </c>
    </row>
    <row r="13" ht="19" customHeight="1">
      <c r="A13" s="4" t="inlineStr">
        <is>
          <t>4.0</t>
        </is>
      </c>
      <c r="B13" s="4" t="inlineStr">
        <is>
          <t>TAB-01</t>
        </is>
      </c>
      <c r="C13" s="5" t="inlineStr">
        <is>
          <t>Tablero General TG-01 (12 polos) equipado completo</t>
        </is>
      </c>
      <c r="D13" s="4" t="inlineStr">
        <is>
          <t>u</t>
        </is>
      </c>
      <c r="E13" s="6" t="n">
        <v>1</v>
      </c>
      <c r="F13" s="7" t="n">
        <v>450</v>
      </c>
      <c r="G13" s="7">
        <f>E13*F13</f>
        <v/>
      </c>
    </row>
    <row r="14" ht="19" customHeight="1">
      <c r="A14" s="8" t="inlineStr">
        <is>
          <t>4.1</t>
        </is>
      </c>
      <c r="B14" s="8" t="inlineStr">
        <is>
          <t>TAB-02</t>
        </is>
      </c>
      <c r="C14" s="9" t="inlineStr">
        <is>
          <t>Tablero de Distribución TD-01 equipado completo</t>
        </is>
      </c>
      <c r="D14" s="8" t="inlineStr">
        <is>
          <t>u</t>
        </is>
      </c>
      <c r="E14" s="10" t="n">
        <v>1</v>
      </c>
      <c r="F14" s="11" t="n">
        <v>320</v>
      </c>
      <c r="G14" s="11">
        <f>E14*F14</f>
        <v/>
      </c>
    </row>
    <row r="15" ht="19" customHeight="1">
      <c r="A15" s="4" t="inlineStr">
        <is>
          <t>4.2</t>
        </is>
      </c>
      <c r="B15" s="4" t="inlineStr">
        <is>
          <t>TAB-03</t>
        </is>
      </c>
      <c r="C15" s="5" t="inlineStr">
        <is>
          <t>Tablero de Distribución TD-02 equipado completo</t>
        </is>
      </c>
      <c r="D15" s="4" t="inlineStr">
        <is>
          <t>u</t>
        </is>
      </c>
      <c r="E15" s="6" t="n">
        <v>1</v>
      </c>
      <c r="F15" s="7" t="n">
        <v>320</v>
      </c>
      <c r="G15" s="7">
        <f>E15*F15</f>
        <v/>
      </c>
    </row>
    <row r="16" ht="19" customHeight="1">
      <c r="A16" s="8" t="inlineStr">
        <is>
          <t>5.0</t>
        </is>
      </c>
      <c r="B16" s="8" t="inlineStr">
        <is>
          <t>ACC-01</t>
        </is>
      </c>
      <c r="C16" s="9" t="inlineStr">
        <is>
          <t>Placas de interruptor simple</t>
        </is>
      </c>
      <c r="D16" s="8" t="inlineStr">
        <is>
          <t>pza</t>
        </is>
      </c>
      <c r="E16" s="10" t="n">
        <v>4</v>
      </c>
      <c r="F16" s="11" t="n">
        <v>12</v>
      </c>
      <c r="G16" s="11">
        <f>E16*F16</f>
        <v/>
      </c>
    </row>
    <row r="17" ht="19" customHeight="1">
      <c r="A17" s="4" t="inlineStr">
        <is>
          <t>5.1</t>
        </is>
      </c>
      <c r="B17" s="4" t="inlineStr">
        <is>
          <t>ACC-02</t>
        </is>
      </c>
      <c r="C17" s="5" t="inlineStr">
        <is>
          <t>Placas de interruptor conmutador S3</t>
        </is>
      </c>
      <c r="D17" s="4" t="inlineStr">
        <is>
          <t>pza</t>
        </is>
      </c>
      <c r="E17" s="6" t="n">
        <v>4</v>
      </c>
      <c r="F17" s="7" t="n">
        <v>15</v>
      </c>
      <c r="G17" s="7">
        <f>E17*F17</f>
        <v/>
      </c>
    </row>
    <row r="18" ht="19" customHeight="1">
      <c r="A18" s="8" t="inlineStr">
        <is>
          <t>5.2</t>
        </is>
      </c>
      <c r="B18" s="8" t="inlineStr">
        <is>
          <t>ACC-03</t>
        </is>
      </c>
      <c r="C18" s="9" t="inlineStr">
        <is>
          <t>Placas de tomacorriente doble c/ tierra</t>
        </is>
      </c>
      <c r="D18" s="8" t="inlineStr">
        <is>
          <t>pza</t>
        </is>
      </c>
      <c r="E18" s="10" t="n">
        <v>22</v>
      </c>
      <c r="F18" s="11" t="n">
        <v>14.5</v>
      </c>
      <c r="G18" s="11">
        <f>E18*F18</f>
        <v/>
      </c>
    </row>
    <row r="19" ht="19" customHeight="1">
      <c r="A19" s="4" t="inlineStr">
        <is>
          <t>5.3</t>
        </is>
      </c>
      <c r="B19" s="4" t="inlineStr">
        <is>
          <t>ACC-04</t>
        </is>
      </c>
      <c r="C19" s="5" t="inlineStr">
        <is>
          <t>Placas de tomacorriente GFCI</t>
        </is>
      </c>
      <c r="D19" s="4" t="inlineStr">
        <is>
          <t>pza</t>
        </is>
      </c>
      <c r="E19" s="6" t="n">
        <v>2</v>
      </c>
      <c r="F19" s="7" t="n">
        <v>45</v>
      </c>
      <c r="G19" s="7">
        <f>E19*F19</f>
        <v/>
      </c>
    </row>
    <row r="20" ht="19" customHeight="1">
      <c r="A20" s="8" t="inlineStr">
        <is>
          <t>6.0</t>
        </is>
      </c>
      <c r="B20" s="8" t="inlineStr">
        <is>
          <t>PAT-01</t>
        </is>
      </c>
      <c r="C20" s="9" t="inlineStr">
        <is>
          <t>Kit de Pozo de Puesta a Tierra Completo c/ accesorios</t>
        </is>
      </c>
      <c r="D20" s="8" t="inlineStr">
        <is>
          <t>jgo</t>
        </is>
      </c>
      <c r="E20" s="10" t="n">
        <v>1</v>
      </c>
      <c r="F20" s="11" t="n">
        <v>650</v>
      </c>
      <c r="G20" s="11">
        <f>E20*F20</f>
        <v/>
      </c>
    </row>
    <row r="21" ht="19" customHeight="1">
      <c r="A21" s="4" t="inlineStr">
        <is>
          <t>7.0</t>
        </is>
      </c>
      <c r="B21" s="4" t="inlineStr">
        <is>
          <t>OBR-01</t>
        </is>
      </c>
      <c r="C21" s="5" t="inlineStr">
        <is>
          <t>Mano de Obra Calificada de Instalaciones Interiores</t>
        </is>
      </c>
      <c r="D21" s="4" t="inlineStr">
        <is>
          <t>jgo</t>
        </is>
      </c>
      <c r="E21" s="6" t="n">
        <v>1</v>
      </c>
      <c r="F21" s="7" t="n">
        <v>3200</v>
      </c>
      <c r="G21" s="7">
        <f>E21*F21</f>
        <v/>
      </c>
    </row>
    <row r="22" ht="20" customHeight="1">
      <c r="C22" s="12" t="inlineStr">
        <is>
          <t>SUBTOTAL</t>
        </is>
      </c>
      <c r="G22" s="13">
        <f>SUM(G5:G21)</f>
        <v/>
      </c>
    </row>
    <row r="23" ht="20" customHeight="1">
      <c r="C23" s="12" t="inlineStr">
        <is>
          <t>IGV (18%)</t>
        </is>
      </c>
      <c r="G23" s="13">
        <f>G22*0.18</f>
        <v/>
      </c>
    </row>
    <row r="24" ht="22" customHeight="1">
      <c r="C24" s="12" t="inlineStr">
        <is>
          <t>TOTAL GENERAL PRESUPUESTADO (S/.)</t>
        </is>
      </c>
      <c r="G24" s="14">
        <f>G22+G23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2026-06-13T03:52:16Z</dcterms:created>
  <dcterms:modified xmlns:dcterms="http://purl.org/dc/terms/" xmlns:xsi="http://www.w3.org/2001/XMLSchema-instance" xsi:type="dcterms:W3CDTF">2026-06-13T03:52:16Z</dcterms:modified>
</cp:coreProperties>
</file>